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5"/>
    <sheet state="visible" name="Income Statement" sheetId="2" r:id="rId6"/>
    <sheet state="visible" name="Cash Flow Statement" sheetId="3" r:id="rId7"/>
    <sheet state="visible" name="Ratios" sheetId="4" r:id="rId8"/>
    <sheet state="visible" name="Notes" sheetId="5" r:id="rId9"/>
  </sheets>
  <definedNames/>
  <calcPr/>
</workbook>
</file>

<file path=xl/sharedStrings.xml><?xml version="1.0" encoding="utf-8"?>
<sst xmlns="http://schemas.openxmlformats.org/spreadsheetml/2006/main" count="61" uniqueCount="60">
  <si>
    <t xml:space="preserve">Tesla Balance Sheet </t>
  </si>
  <si>
    <t>Cash &amp; Cash Equivalent</t>
  </si>
  <si>
    <t>Account Receivable</t>
  </si>
  <si>
    <t>Inventory</t>
  </si>
  <si>
    <t>Total current Assets</t>
  </si>
  <si>
    <t>Total assets</t>
  </si>
  <si>
    <t>Current liabilities</t>
  </si>
  <si>
    <t>Long-term debt</t>
  </si>
  <si>
    <t>Total liabilites</t>
  </si>
  <si>
    <t>S</t>
  </si>
  <si>
    <t>Stockholders' equity</t>
  </si>
  <si>
    <t>Average Assets</t>
  </si>
  <si>
    <t>Average Equity</t>
  </si>
  <si>
    <t>Average Inventory</t>
  </si>
  <si>
    <t>Average Receivables</t>
  </si>
  <si>
    <t>Tesla Income Statement</t>
  </si>
  <si>
    <t>Revenue</t>
  </si>
  <si>
    <t>Operating income (EBIT)</t>
  </si>
  <si>
    <t>Interest Expense</t>
  </si>
  <si>
    <t>Income before tax</t>
  </si>
  <si>
    <t>Income tax expense</t>
  </si>
  <si>
    <t>Net income</t>
  </si>
  <si>
    <t>Depreciation</t>
  </si>
  <si>
    <t>Tesla Cash Flow Statement</t>
  </si>
  <si>
    <t>Net cash from operating activites</t>
  </si>
  <si>
    <t>Investing cash flow</t>
  </si>
  <si>
    <t>Financing cash flow</t>
  </si>
  <si>
    <t>Market Input</t>
  </si>
  <si>
    <t>Value</t>
  </si>
  <si>
    <t>Share Price</t>
  </si>
  <si>
    <t>year-end market price</t>
  </si>
  <si>
    <t>Shares Outstanding</t>
  </si>
  <si>
    <t>Billion</t>
  </si>
  <si>
    <t>Market Cap</t>
  </si>
  <si>
    <t>Cost of Capital</t>
  </si>
  <si>
    <t>Tax Rate</t>
  </si>
  <si>
    <t>Ratio Calculations</t>
  </si>
  <si>
    <t>Liquidity</t>
  </si>
  <si>
    <t>Efficiency</t>
  </si>
  <si>
    <t>Current Ratio</t>
  </si>
  <si>
    <t>Asset Turnover</t>
  </si>
  <si>
    <t>Quick Rato</t>
  </si>
  <si>
    <t>Inventory Turnover</t>
  </si>
  <si>
    <t>Cash Ratio</t>
  </si>
  <si>
    <t>Receivables Turnover</t>
  </si>
  <si>
    <t>Profitability</t>
  </si>
  <si>
    <t>Leverage</t>
  </si>
  <si>
    <t>ROA</t>
  </si>
  <si>
    <t>Debt to Equity</t>
  </si>
  <si>
    <t>ROE</t>
  </si>
  <si>
    <t>Debt Ratio</t>
  </si>
  <si>
    <t>Profit Margin</t>
  </si>
  <si>
    <t>Times Interest Earned</t>
  </si>
  <si>
    <t>Performance</t>
  </si>
  <si>
    <t>Market-to-Book</t>
  </si>
  <si>
    <t>MVA</t>
  </si>
  <si>
    <t>Source: Tesla 2025 and 2024 Form 10-K</t>
  </si>
  <si>
    <t>Share price based on year-end market price</t>
  </si>
  <si>
    <t>Cost of capital assumed at 9%</t>
  </si>
  <si>
    <t>Ratios calculated using course formulas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</si>
</sst>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(#,##0)"/>
    <numFmt numFmtId="165" formatCode="0.0%"/>
    <numFmt numFmtId="166" formatCode="&quot;$&quot;#,##0.00"/>
    <numFmt numFmtId="167" formatCode="#,##0.00;(#,##0.00)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3" xfId="0" applyAlignment="1" applyFont="1" applyNumberFormat="1">
      <alignment readingOrder="0"/>
    </xf>
    <xf borderId="0" fillId="3" fontId="1" numFmtId="0" xfId="0" applyFill="1" applyFont="1"/>
    <xf borderId="0" fillId="2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1" numFmtId="2" xfId="0" applyAlignment="1" applyFont="1" applyNumberFormat="1">
      <alignment readingOrder="0"/>
    </xf>
    <xf borderId="0" fillId="4" fontId="1" numFmtId="165" xfId="0" applyAlignment="1" applyFont="1" applyNumberFormat="1">
      <alignment readingOrder="0"/>
    </xf>
    <xf borderId="0" fillId="5" fontId="1" numFmtId="9" xfId="0" applyAlignment="1" applyFill="1" applyFont="1" applyNumberFormat="1">
      <alignment readingOrder="0"/>
    </xf>
    <xf borderId="0" fillId="0" fontId="1" numFmtId="166" xfId="0" applyFont="1" applyNumberForma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1" numFmtId="2" xfId="0" applyFont="1" applyNumberFormat="1"/>
    <xf borderId="0" fillId="0" fontId="3" numFmtId="0" xfId="0" applyAlignment="1" applyFont="1">
      <alignment readingOrder="0"/>
    </xf>
    <xf borderId="0" fillId="3" fontId="1" numFmtId="2" xfId="0" applyFont="1" applyNumberFormat="1"/>
    <xf borderId="0" fillId="3" fontId="1" numFmtId="10" xfId="0" applyFont="1" applyNumberFormat="1"/>
    <xf borderId="0" fillId="3" fontId="1" numFmtId="167" xfId="0" applyFont="1" applyNumberFormat="1"/>
    <xf borderId="0" fillId="4" fontId="1" numFmtId="2" xfId="0" applyAlignment="1" applyFont="1" applyNumberFormat="1">
      <alignment readingOrder="0"/>
    </xf>
    <xf borderId="0" fillId="4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</row>
    <row r="2">
      <c r="A2" s="2"/>
      <c r="B2" s="2"/>
      <c r="C2" s="2"/>
    </row>
    <row r="3">
      <c r="A3" s="2"/>
      <c r="B3" s="3">
        <v>2025.0</v>
      </c>
      <c r="C3" s="3">
        <v>2024.0</v>
      </c>
    </row>
    <row r="5">
      <c r="A5" s="1" t="s">
        <v>1</v>
      </c>
      <c r="B5" s="4">
        <v>16513.0</v>
      </c>
      <c r="C5" s="4">
        <v>16139.0</v>
      </c>
    </row>
    <row r="6">
      <c r="A6" s="1" t="s">
        <v>2</v>
      </c>
      <c r="B6" s="4">
        <v>4576.0</v>
      </c>
      <c r="C6" s="4">
        <v>4418.0</v>
      </c>
    </row>
    <row r="7">
      <c r="A7" s="1" t="s">
        <v>3</v>
      </c>
      <c r="B7" s="4">
        <v>12392.0</v>
      </c>
      <c r="C7" s="4">
        <v>12017.0</v>
      </c>
    </row>
    <row r="8">
      <c r="A8" s="1" t="s">
        <v>4</v>
      </c>
      <c r="B8" s="4">
        <v>68642.0</v>
      </c>
      <c r="C8" s="4">
        <v>58360.0</v>
      </c>
    </row>
    <row r="9">
      <c r="A9" s="1" t="s">
        <v>5</v>
      </c>
      <c r="B9" s="4">
        <v>137806.0</v>
      </c>
      <c r="C9" s="4">
        <v>122070.0</v>
      </c>
    </row>
    <row r="10">
      <c r="A10" s="1" t="s">
        <v>6</v>
      </c>
      <c r="B10" s="4">
        <v>31714.0</v>
      </c>
      <c r="C10" s="4">
        <v>28821.0</v>
      </c>
    </row>
    <row r="11">
      <c r="A11" s="1" t="s">
        <v>7</v>
      </c>
      <c r="B11" s="5">
        <v>6736.0</v>
      </c>
      <c r="C11" s="4">
        <v>5757.0</v>
      </c>
    </row>
    <row r="12">
      <c r="A12" s="1" t="s">
        <v>8</v>
      </c>
      <c r="B12" s="4">
        <v>54941.0</v>
      </c>
      <c r="C12" s="4">
        <v>49390.0</v>
      </c>
      <c r="F12" s="1" t="s">
        <v>9</v>
      </c>
    </row>
    <row r="13">
      <c r="A13" s="1" t="s">
        <v>10</v>
      </c>
      <c r="B13" s="4">
        <v>82137.0</v>
      </c>
      <c r="C13" s="4">
        <v>72913.0</v>
      </c>
    </row>
    <row r="15">
      <c r="A15" s="1" t="s">
        <v>11</v>
      </c>
      <c r="B15" s="6">
        <f>sum(C9,B9)/2</f>
        <v>129938</v>
      </c>
    </row>
    <row r="16">
      <c r="A16" s="1" t="s">
        <v>12</v>
      </c>
      <c r="B16" s="6">
        <f>sum(B13,C13)/2</f>
        <v>77525</v>
      </c>
    </row>
    <row r="17">
      <c r="A17" s="1" t="s">
        <v>13</v>
      </c>
      <c r="B17" s="6">
        <f>sum(B7,C7)/2</f>
        <v>12204.5</v>
      </c>
    </row>
    <row r="18">
      <c r="A18" s="1" t="s">
        <v>14</v>
      </c>
      <c r="B18" s="6">
        <f>sum(B6,C6)/2</f>
        <v>4497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15</v>
      </c>
    </row>
    <row r="3">
      <c r="B3" s="3">
        <v>2025.0</v>
      </c>
      <c r="C3" s="3">
        <v>2024.0</v>
      </c>
    </row>
    <row r="5">
      <c r="A5" s="1" t="s">
        <v>16</v>
      </c>
      <c r="B5" s="4">
        <v>94827.0</v>
      </c>
      <c r="C5" s="4">
        <v>97690.0</v>
      </c>
    </row>
    <row r="6">
      <c r="A6" s="1" t="s">
        <v>17</v>
      </c>
      <c r="B6" s="4">
        <v>4355.0</v>
      </c>
      <c r="C6" s="4">
        <v>7076.0</v>
      </c>
    </row>
    <row r="7">
      <c r="A7" s="1" t="s">
        <v>18</v>
      </c>
      <c r="B7" s="7">
        <v>-338.0</v>
      </c>
      <c r="C7" s="7">
        <v>-350.0</v>
      </c>
    </row>
    <row r="8">
      <c r="A8" s="1" t="s">
        <v>19</v>
      </c>
      <c r="B8" s="4">
        <v>5278.0</v>
      </c>
      <c r="C8" s="4">
        <v>8990.0</v>
      </c>
    </row>
    <row r="9">
      <c r="A9" s="1" t="s">
        <v>20</v>
      </c>
      <c r="B9" s="4">
        <v>1423.0</v>
      </c>
      <c r="C9" s="4">
        <v>1837.0</v>
      </c>
    </row>
    <row r="10">
      <c r="A10" s="1" t="s">
        <v>21</v>
      </c>
      <c r="B10" s="4">
        <v>3855.0</v>
      </c>
      <c r="C10" s="4">
        <v>7153.0</v>
      </c>
    </row>
    <row r="11">
      <c r="A11" s="1" t="s">
        <v>22</v>
      </c>
      <c r="B11" s="4">
        <v>6148.0</v>
      </c>
      <c r="C11" s="4">
        <v>5368.0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23</v>
      </c>
    </row>
    <row r="3">
      <c r="B3" s="3">
        <v>2025.0</v>
      </c>
      <c r="C3" s="3">
        <v>2024.0</v>
      </c>
    </row>
    <row r="5">
      <c r="A5" s="1" t="s">
        <v>24</v>
      </c>
      <c r="B5" s="4">
        <v>14747.0</v>
      </c>
      <c r="C5" s="4">
        <v>14923.0</v>
      </c>
    </row>
    <row r="6">
      <c r="A6" s="1" t="s">
        <v>25</v>
      </c>
      <c r="B6" s="7">
        <v>-15478.0</v>
      </c>
      <c r="C6" s="7">
        <v>-18787.0</v>
      </c>
    </row>
    <row r="7">
      <c r="A7" s="1" t="s">
        <v>26</v>
      </c>
      <c r="B7" s="4">
        <v>1139.0</v>
      </c>
      <c r="C7" s="4">
        <v>3853.0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3" max="3" width="12.5"/>
    <col customWidth="1" min="4" max="4" width="17.38"/>
  </cols>
  <sheetData>
    <row r="1">
      <c r="A1" s="8" t="s">
        <v>27</v>
      </c>
      <c r="B1" s="8" t="s">
        <v>28</v>
      </c>
    </row>
    <row r="2">
      <c r="A2" s="1"/>
      <c r="B2" s="1"/>
    </row>
    <row r="3">
      <c r="A3" s="1" t="s">
        <v>29</v>
      </c>
      <c r="B3" s="9">
        <v>449.72</v>
      </c>
      <c r="C3" s="1" t="s">
        <v>30</v>
      </c>
    </row>
    <row r="4">
      <c r="A4" s="1" t="s">
        <v>31</v>
      </c>
      <c r="B4" s="4">
        <v>3.751</v>
      </c>
      <c r="C4" s="1" t="s">
        <v>32</v>
      </c>
    </row>
    <row r="5">
      <c r="A5" s="1" t="s">
        <v>33</v>
      </c>
      <c r="B5" s="10">
        <f>B3*B4</f>
        <v>1686.89972</v>
      </c>
      <c r="C5" s="1" t="s">
        <v>32</v>
      </c>
    </row>
    <row r="6">
      <c r="A6" s="1" t="s">
        <v>34</v>
      </c>
      <c r="B6" s="11">
        <v>0.09</v>
      </c>
    </row>
    <row r="7">
      <c r="A7" s="1" t="s">
        <v>35</v>
      </c>
      <c r="B7" s="12">
        <f>'Income Statement'!B9/'Income Statement'!B8</f>
        <v>0.2696097006</v>
      </c>
    </row>
    <row r="9">
      <c r="G9" s="13"/>
    </row>
    <row r="11">
      <c r="A11" s="14" t="s">
        <v>36</v>
      </c>
    </row>
    <row r="13">
      <c r="A13" s="15" t="s">
        <v>37</v>
      </c>
      <c r="B13" s="16"/>
      <c r="D13" s="15" t="s">
        <v>38</v>
      </c>
      <c r="F13" s="17"/>
    </row>
    <row r="14">
      <c r="A14" s="1" t="s">
        <v>39</v>
      </c>
      <c r="B14" s="18">
        <f>'Balance Sheet'!B8/'Balance Sheet'!B10</f>
        <v>2.164406887</v>
      </c>
      <c r="D14" s="1" t="s">
        <v>40</v>
      </c>
      <c r="E14" s="18">
        <f>'Income Statement'!B5/'Balance Sheet'!B15</f>
        <v>0.7297865136</v>
      </c>
    </row>
    <row r="15">
      <c r="A15" s="1" t="s">
        <v>41</v>
      </c>
      <c r="B15" s="18">
        <f>sum('Balance Sheet'!B5:B6)/'Balance Sheet'!B10</f>
        <v>0.6649744592</v>
      </c>
      <c r="D15" s="1" t="s">
        <v>42</v>
      </c>
      <c r="E15" s="18">
        <f>'Income Statement'!B5/'Balance Sheet'!B17</f>
        <v>7.769838994</v>
      </c>
    </row>
    <row r="16">
      <c r="A16" s="1" t="s">
        <v>43</v>
      </c>
      <c r="B16" s="18">
        <f>'Balance Sheet'!B5/'Balance Sheet'!B10</f>
        <v>0.520684871</v>
      </c>
      <c r="D16" s="1" t="s">
        <v>44</v>
      </c>
      <c r="E16" s="18">
        <f>'Income Statement'!B5/'Balance Sheet'!B18</f>
        <v>21.08672448</v>
      </c>
    </row>
    <row r="17">
      <c r="B17" s="16"/>
      <c r="E17" s="16"/>
    </row>
    <row r="18">
      <c r="A18" s="15" t="s">
        <v>45</v>
      </c>
      <c r="B18" s="16"/>
      <c r="D18" s="15" t="s">
        <v>46</v>
      </c>
      <c r="E18" s="16"/>
    </row>
    <row r="19">
      <c r="A19" s="1" t="s">
        <v>47</v>
      </c>
      <c r="B19" s="19">
        <f>'Income Statement'!B10/'Balance Sheet'!B15</f>
        <v>0.02966799551</v>
      </c>
      <c r="D19" s="1" t="s">
        <v>48</v>
      </c>
      <c r="E19" s="18">
        <f>'Balance Sheet'!B12/'Balance Sheet'!B13</f>
        <v>0.6688946516</v>
      </c>
    </row>
    <row r="20">
      <c r="A20" s="1" t="s">
        <v>49</v>
      </c>
      <c r="B20" s="19">
        <f>'Income Statement'!B10/'Balance Sheet'!B16</f>
        <v>0.04972589487</v>
      </c>
      <c r="D20" s="1" t="s">
        <v>50</v>
      </c>
      <c r="E20" s="18">
        <f>'Balance Sheet'!B12/'Balance Sheet'!B9</f>
        <v>0.3986836567</v>
      </c>
    </row>
    <row r="21">
      <c r="A21" s="1" t="s">
        <v>51</v>
      </c>
      <c r="B21" s="19">
        <f>'Income Statement'!B10/'Income Statement'!B5</f>
        <v>0.04065297858</v>
      </c>
      <c r="D21" s="1" t="s">
        <v>52</v>
      </c>
      <c r="E21" s="20">
        <f>-'Income Statement'!B6/'Income Statement'!B7</f>
        <v>12.88461538</v>
      </c>
    </row>
    <row r="23">
      <c r="A23" s="15" t="s">
        <v>53</v>
      </c>
    </row>
    <row r="24">
      <c r="A24" s="1" t="s">
        <v>54</v>
      </c>
      <c r="B24" s="21">
        <v>20.54</v>
      </c>
    </row>
    <row r="25">
      <c r="A25" s="1" t="s">
        <v>55</v>
      </c>
      <c r="B25" s="22">
        <f>1686900-82137</f>
        <v>1604763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56</v>
      </c>
    </row>
    <row r="3">
      <c r="A3" s="1" t="s">
        <v>57</v>
      </c>
    </row>
    <row r="4">
      <c r="A4" s="1" t="s">
        <v>58</v>
      </c>
    </row>
    <row r="5">
      <c r="A5" s="1" t="s">
        <v>59</v>
      </c>
    </row>
  </sheetData>
  <drawing r:id="rId1"/>
</worksheet>
</file>